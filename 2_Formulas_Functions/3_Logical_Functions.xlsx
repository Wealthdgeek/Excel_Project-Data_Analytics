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alt\Downloads\Excel_Data_Analytics_Course-main\Excel_Data_Analytics_Course-main\2_Formulas_Functions\"/>
    </mc:Choice>
  </mc:AlternateContent>
  <xr:revisionPtr revIDLastSave="0" documentId="13_ncr:1_{F6BAD980-F3C6-45D8-8E04-F1D1799F50E1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N2" i="10"/>
  <c r="L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K3" i="10"/>
  <c r="K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E3" i="12"/>
  <c r="E4" i="12"/>
  <c r="E5" i="12"/>
  <c r="E6" i="12"/>
  <c r="D4" i="12"/>
  <c r="D5" i="12"/>
  <c r="D6" i="12"/>
  <c r="D3" i="12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<sst xmlns="http://schemas.openxmlformats.org/spreadsheetml/2006/main" count="395" uniqueCount="144">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</sst>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"Met Goal","Not Met")</f>
        <v>Met Goal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"Met Goal","Not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Met Goal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Met Goal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Met Goal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Met Goal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Met Goal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3" sqref="R2:R21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1" hidden="1" customWidth="1"/>
    <col min="12" max="12" width="14.21875" hidden="1" customWidth="1"/>
    <col min="13" max="13" width="12.77734375" hidden="1" customWidth="1"/>
    <col min="14" max="14" width="8.88671875" hidden="1" customWidth="1"/>
    <col min="15" max="15" width="13.21875" hidden="1" customWidth="1"/>
    <col min="16" max="16" width="14" customWidth="1"/>
    <col min="17" max="17" width="13.6640625" customWidth="1"/>
    <col min="18" max="18" width="17.33203125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IF(A2=K$1,"Role Desired","Not Desired")</f>
        <v>Not Desired</v>
      </c>
      <c r="L2" t="str">
        <f>IF($A2=L$1,"Role Desired","Not Desired")</f>
        <v>Not Desired</v>
      </c>
      <c r="M2" t="str">
        <f>IF($A2=K$1,"Role Desired", IF($A2=L$1,"Role Desired","Not Desired"))</f>
        <v>Not Desired</v>
      </c>
      <c r="N2" t="b">
        <f>AND($A2=K$1,$A2=L$1)</f>
        <v>0</v>
      </c>
      <c r="O2" t="b">
        <f>OR($A2=K$1,$A2=L$1)</f>
        <v>0</v>
      </c>
      <c r="P2" t="str">
        <f>IF(OR($A2=K$1,$A2=L$1), "Role Desired","Not Desired")</f>
        <v>Not Desired</v>
      </c>
      <c r="Q2" t="str">
        <f>IF($H2&gt;$Q$1, "Salary&gt;85K","Salary Low")</f>
        <v>Salary&gt;85K</v>
      </c>
      <c r="R2" t="str" cm="1">
        <f t="array" ref="R2">_xlfn.IFS($H2="","No Data",$H2&gt;=$Q$1,"Salary&gt;$85K",TRUE,"Salary Low")</f>
        <v>Salary&gt;$85K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IF(A3=K$1,"Role Desired","Not Desired")</f>
        <v>Role Desired</v>
      </c>
      <c r="L3" t="str">
        <f t="shared" ref="L3:L21" si="0">IF($A3=L$1,"Role Desired","Not Desired")</f>
        <v>Not Desired</v>
      </c>
      <c r="M3" t="str">
        <f t="shared" ref="M3:M21" si="1">IF($A3=K$1,"Role Desired", IF($A3=L$1,"Role Desired","Not Desired"))</f>
        <v>Role Desired</v>
      </c>
      <c r="N3" t="b">
        <f t="shared" ref="N3:N21" si="2">AND($A3=K$1,$A3=L$1)</f>
        <v>0</v>
      </c>
      <c r="O3" t="b">
        <f t="shared" ref="O3:O21" si="3">OR($A3=K$1,$A3=L$1)</f>
        <v>1</v>
      </c>
      <c r="P3" t="str">
        <f t="shared" ref="P3:P21" si="4">IF(OR($A3=K$1,$A3=L$1), "Role Desired","Not Desired")</f>
        <v>Role Desired</v>
      </c>
      <c r="Q3" t="str">
        <f t="shared" ref="Q3:Q21" si="5">IF($H3&gt;$Q$1, "Salary&gt;85K","Salary Low")</f>
        <v>Salary Low</v>
      </c>
      <c r="R3" t="str" cm="1">
        <f t="array" ref="R3">_xlfn.IFS($H3="","No Data",$H3&gt;=$Q$1,"Salary&gt;$85K",TRUE,"Salary Low")</f>
        <v>Salary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ref="K2:K21" si="6">IF(A4=K$1,"Role Desired","Not Desired")</f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_xlfn.IFS($H4="","No Data",$H4&gt;=$Q$1,"Salary&gt;$85K",TRUE,"Salary Low")</f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6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_xlfn.IFS($H5="","No Data",$H5&gt;=$Q$1,"Salary&gt;$85K",TRUE,"Salary Low")</f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6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_xlfn.IFS($H6="","No Data",$H6&gt;=$Q$1,"Salary&gt;$85K",TRUE,"Salary Low")</f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6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_xlfn.IFS($H7="","No Data",$H7&gt;=$Q$1,"Salary&gt;$85K",TRUE,"Salary Low")</f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6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_xlfn.IFS($H8="","No Data",$H8&gt;=$Q$1,"Salary&gt;$85K",TRUE,"Salary Low")</f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6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Salary&gt;85K</v>
      </c>
      <c r="R9" t="str" cm="1">
        <f t="array" ref="R9">_xlfn.IFS($H9="","No Data",$H9&gt;=$Q$1,"Salary&gt;$85K",TRUE,"Salary Low")</f>
        <v>Salary&gt;$85K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6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_xlfn.IFS($H10="","No Data",$H10&gt;=$Q$1,"Salary&gt;$85K",TRUE,"Salary Low")</f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6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Salary&gt;85K</v>
      </c>
      <c r="R11" t="str" cm="1">
        <f t="array" ref="R11">_xlfn.IFS($H11="","No Data",$H11&gt;=$Q$1,"Salary&gt;$85K",TRUE,"Salary Low")</f>
        <v>Salary&gt;$85K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6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Salary&gt;85K</v>
      </c>
      <c r="R12" t="str" cm="1">
        <f t="array" ref="R12">_xlfn.IFS($H12="","No Data",$H12&gt;=$Q$1,"Salary&gt;$85K",TRUE,"Salary Low")</f>
        <v>Salary&gt;$85K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6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Salary&gt;85K</v>
      </c>
      <c r="R13" t="str" cm="1">
        <f t="array" ref="R13">_xlfn.IFS($H13="","No Data",$H13&gt;=$Q$1,"Salary&gt;$85K",TRUE,"Salary Low")</f>
        <v>Salary&gt;$85K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6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Salary&gt;85K</v>
      </c>
      <c r="R14" t="str" cm="1">
        <f t="array" ref="R14">_xlfn.IFS($H14="","No Data",$H14&gt;=$Q$1,"Salary&gt;$85K",TRUE,"Salary Low")</f>
        <v>Salary&gt;$85K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6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_xlfn.IFS($H15="","No Data",$H15&gt;=$Q$1,"Salary&gt;$85K",TRUE,"Salary Low")</f>
        <v>Salary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6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Salary&gt;85K</v>
      </c>
      <c r="R16" t="str" cm="1">
        <f t="array" ref="R16">_xlfn.IFS($H16="","No Data",$H16&gt;=$Q$1,"Salary&gt;$85K",TRUE,"Salary Low")</f>
        <v>Salary&gt;$85K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6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Salary&gt;85K</v>
      </c>
      <c r="R17" t="str" cm="1">
        <f t="array" ref="R17">_xlfn.IFS($H17="","No Data",$H17&gt;=$Q$1,"Salary&gt;$85K",TRUE,"Salary Low")</f>
        <v>Salary&gt;$85K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6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_xlfn.IFS($H18="","No Data",$H18&gt;=$Q$1,"Salary&gt;$85K",TRUE,"Salary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6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Salary&gt;85K</v>
      </c>
      <c r="R19" t="str" cm="1">
        <f t="array" ref="R19">_xlfn.IFS($H19="","No Data",$H19&gt;=$Q$1,"Salary&gt;$85K",TRUE,"Salary Low")</f>
        <v>Salary&gt;$85K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6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_xlfn.IFS($H20="","No Data",$H20&gt;=$Q$1,"Salary&gt;$85K",TRUE,"Salary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6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Salary&gt;85K</v>
      </c>
      <c r="R21" t="str" cm="1">
        <f t="array" ref="R21">_xlfn.IFS($H21="","No Data",$H21&gt;=$Q$1,"Salary&gt;$85K",TRUE,"Salary Low")</f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7"/>
  <sheetViews>
    <sheetView showGridLines="0" workbookViewId="0">
      <selection activeCell="E4" sqref="E4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  <row r="7" spans="2:5" x14ac:dyDescent="0.3">
      <c r="E7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Osagioduwa Wealth Idemudia</cp:lastModifiedBy>
  <dcterms:created xsi:type="dcterms:W3CDTF">2024-07-16T20:11:02Z</dcterms:created>
  <dcterms:modified xsi:type="dcterms:W3CDTF">2026-04-02T14:27:40Z</dcterms:modified>
</cp:coreProperties>
</file>